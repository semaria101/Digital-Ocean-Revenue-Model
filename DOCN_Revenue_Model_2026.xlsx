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aria/Desktop/"/>
    </mc:Choice>
  </mc:AlternateContent>
  <xr:revisionPtr revIDLastSave="0" documentId="8_{A9A671FA-1A5A-B148-9E32-4E100F0508A6}" xr6:coauthVersionLast="47" xr6:coauthVersionMax="47" xr10:uidLastSave="{00000000-0000-0000-0000-000000000000}"/>
  <bookViews>
    <workbookView xWindow="0" yWindow="0" windowWidth="28800" windowHeight="18000" activeTab="1" xr2:uid="{EA026EB7-64CA-6143-B12C-A0CC094E7723}"/>
  </bookViews>
  <sheets>
    <sheet name="Executive Summary" sheetId="2" r:id="rId1"/>
    <sheet name="The Analysis" sheetId="1" r:id="rId2"/>
    <sheet name="Sensetivity Anala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12" i="1"/>
  <c r="E12" i="1"/>
  <c r="F12" i="1"/>
  <c r="G12" i="1"/>
  <c r="D11" i="1"/>
  <c r="E11" i="1"/>
  <c r="F11" i="1"/>
  <c r="C10" i="1"/>
  <c r="D10" i="1"/>
  <c r="E10" i="1"/>
  <c r="F10" i="1"/>
  <c r="D6" i="1"/>
  <c r="E6" i="1"/>
  <c r="F6" i="1"/>
  <c r="C6" i="1"/>
  <c r="E8" i="1"/>
  <c r="F8" i="1"/>
  <c r="D8" i="1"/>
  <c r="E5" i="1"/>
  <c r="F5" i="1"/>
  <c r="D5" i="1"/>
</calcChain>
</file>

<file path=xl/sharedStrings.xml><?xml version="1.0" encoding="utf-8"?>
<sst xmlns="http://schemas.openxmlformats.org/spreadsheetml/2006/main" count="49" uniqueCount="42">
  <si>
    <t>A</t>
  </si>
  <si>
    <t>B</t>
  </si>
  <si>
    <t>C</t>
  </si>
  <si>
    <t>D</t>
  </si>
  <si>
    <t>E</t>
  </si>
  <si>
    <t>Metric</t>
  </si>
  <si>
    <t>2022A</t>
  </si>
  <si>
    <t>2023A</t>
  </si>
  <si>
    <t>2024A</t>
  </si>
  <si>
    <t>2025A (Q3 Run-Rate)</t>
  </si>
  <si>
    <t>Revenue Drivers</t>
  </si>
  <si>
    <t>ARR ($M)</t>
  </si>
  <si>
    <t>Growth %</t>
  </si>
  <si>
    <t>-</t>
  </si>
  <si>
    <t>ARPU ($)</t>
  </si>
  <si>
    <t>Implied Customers</t>
  </si>
  <si>
    <t>Net Adds (Growth)</t>
  </si>
  <si>
    <t>Monthly ARR</t>
  </si>
  <si>
    <t>2026 Forecast</t>
  </si>
  <si>
    <t>Final Rev</t>
  </si>
  <si>
    <t>Scenario</t>
  </si>
  <si>
    <t>ARPU Assumption</t>
  </si>
  <si>
    <t>Customer Assumption</t>
  </si>
  <si>
    <t>Final Revenue</t>
  </si>
  <si>
    <r>
      <t>Bear Case</t>
    </r>
    <r>
      <rPr>
        <sz val="12"/>
        <color rgb="FF1F1F1F"/>
        <rFont val="Arial"/>
        <family val="2"/>
      </rPr>
      <t xml:space="preserve"> (AI Fails)</t>
    </r>
  </si>
  <si>
    <t>$118 (Flat growth)</t>
  </si>
  <si>
    <t>0.640M (Lose 19k more)</t>
  </si>
  <si>
    <r>
      <t>Base Case</t>
    </r>
    <r>
      <rPr>
        <sz val="12"/>
        <color rgb="FF1F1F1F"/>
        <rFont val="Arial"/>
        <family val="2"/>
      </rPr>
      <t xml:space="preserve"> (Your Model)</t>
    </r>
  </si>
  <si>
    <t>0.659M (Flat)</t>
  </si>
  <si>
    <t>$997M</t>
  </si>
  <si>
    <r>
      <t>Bull Case</t>
    </r>
    <r>
      <rPr>
        <sz val="12"/>
        <color rgb="FF1F1F1F"/>
        <rFont val="Arial"/>
        <family val="2"/>
      </rPr>
      <t xml:space="preserve"> (AI Boom)</t>
    </r>
  </si>
  <si>
    <t>$135 (Big growth)</t>
  </si>
  <si>
    <t>0.670M (Modest growth)</t>
  </si>
  <si>
    <t>$906.2M</t>
  </si>
  <si>
    <t>$1,085.4M</t>
  </si>
  <si>
    <t>Customer Count (M)</t>
  </si>
  <si>
    <t>2026 Rev Forecast ($M)</t>
  </si>
  <si>
    <t>% Growth YoY</t>
  </si>
  <si>
    <t>Bear Case</t>
  </si>
  <si>
    <t>Base Case</t>
  </si>
  <si>
    <t>$996.5M</t>
  </si>
  <si>
    <t>Bull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</si>
</sst>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0" fontId="3" fillId="0" borderId="0" xfId="0" applyNumberFormat="1" applyFont="1"/>
    <xf numFmtId="0" fontId="3" fillId="0" borderId="0" xfId="0" applyNumberFormat="1" applyFont="1"/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1" fillId="2" borderId="0" xfId="0" applyFont="1" applyFill="1"/>
    <xf numFmtId="0" fontId="3" fillId="2" borderId="0" xfId="0" applyNumberFormat="1" applyFont="1" applyFill="1"/>
    <xf numFmtId="0" fontId="0" fillId="0" borderId="0" xfId="0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6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0" fontId="0" fillId="0" borderId="0" xfId="0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190500</xdr:colOff>
      <xdr:row>26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1D06B3-5265-13FC-4747-2BE445D16E47}"/>
            </a:ext>
          </a:extLst>
        </xdr:cNvPr>
        <xdr:cNvSpPr txBox="1"/>
      </xdr:nvSpPr>
      <xdr:spPr>
        <a:xfrm>
          <a:off x="0" y="0"/>
          <a:ext cx="10096500" cy="5372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/>
        </a:p>
        <a:p>
          <a:r>
            <a:rPr lang="en-US" sz="1800" b="1"/>
            <a:t>Project Title:</a:t>
          </a:r>
          <a:r>
            <a:rPr lang="en-US" sz="1800"/>
            <a:t> DigitalOcean (DOCN) FY2026 Revenue Forecast Model </a:t>
          </a:r>
        </a:p>
        <a:p>
          <a:r>
            <a:rPr lang="en-US" sz="1800" b="1"/>
            <a:t>Analyst:</a:t>
          </a:r>
          <a:r>
            <a:rPr lang="en-US" sz="1800"/>
            <a:t> Semaria Kebede </a:t>
          </a:r>
          <a:r>
            <a:rPr lang="en-US" sz="1800" b="1"/>
            <a:t>Date:</a:t>
          </a:r>
          <a:r>
            <a:rPr lang="en-US" sz="1800"/>
            <a:t> December 6, 2025</a:t>
          </a:r>
        </a:p>
        <a:p>
          <a:endParaRPr lang="en-US" sz="1800"/>
        </a:p>
        <a:p>
          <a:r>
            <a:rPr lang="en-US" sz="1800" b="1"/>
            <a:t>Executive Summary:</a:t>
          </a:r>
          <a:r>
            <a:rPr lang="en-US" sz="1800"/>
            <a:t> This model projects Fiscal Year 2026 revenue for DigitalOcean (NYSE: DOCN) based on a driver-based analysis of Unit Economics (ARPU) and Customer Volume. The forecast assumes a strategic pivot from low-cost "droplet" hosting to high-performance AI infrastructure.</a:t>
          </a:r>
        </a:p>
        <a:p>
          <a:endParaRPr lang="en-US" sz="1800"/>
        </a:p>
        <a:p>
          <a:r>
            <a:rPr lang="en-US" sz="1800" b="1"/>
            <a:t>Key Findings from 10-K &amp; Quantitative Analysis:</a:t>
          </a:r>
          <a:endParaRPr lang="en-US" sz="1800"/>
        </a:p>
        <a:p>
          <a:endParaRPr lang="en-US" sz="1800" b="1"/>
        </a:p>
        <a:p>
          <a:r>
            <a:rPr lang="en-US" sz="1800" b="1"/>
            <a:t>Strategic Shift:</a:t>
          </a:r>
          <a:r>
            <a:rPr lang="en-US" sz="1800"/>
            <a:t> DigitalOcean is aggressively moving up-market, evidenced by a ~40% increase in Average Revenue Per User (ARPU) from 2022 ($82) to Q3 2025 ($116).</a:t>
          </a:r>
        </a:p>
        <a:p>
          <a:r>
            <a:rPr lang="en-US" sz="1800" b="1"/>
            <a:t>Revenue Quality:</a:t>
          </a:r>
          <a:r>
            <a:rPr lang="en-US" sz="1800"/>
            <a:t> While top-line revenue continues to grow, it is driven entirely by monetization (price/mix) rather than volume.</a:t>
          </a:r>
        </a:p>
        <a:p>
          <a:r>
            <a:rPr lang="en-US" sz="1800" b="1"/>
            <a:t>Risk Factor:</a:t>
          </a:r>
          <a:r>
            <a:rPr lang="en-US" sz="1800"/>
            <a:t> The "Churning the Bottom" strategy has resulted in a net contraction of the total user base, creating dependency on continued ARPU expansion to sustain growth.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181429</xdr:colOff>
      <xdr:row>14</xdr:row>
      <xdr:rowOff>101600</xdr:rowOff>
    </xdr:from>
    <xdr:to>
      <xdr:col>8</xdr:col>
      <xdr:colOff>464457</xdr:colOff>
      <xdr:row>27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1960FF-ABFF-B7B2-364A-12368C2C4F80}"/>
            </a:ext>
          </a:extLst>
        </xdr:cNvPr>
        <xdr:cNvSpPr txBox="1"/>
      </xdr:nvSpPr>
      <xdr:spPr>
        <a:xfrm>
          <a:off x="537029" y="2946400"/>
          <a:ext cx="7039428" cy="2590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The "Churning the Bottom" Thesis</a:t>
          </a:r>
        </a:p>
        <a:p>
          <a:endParaRPr lang="en-US"/>
        </a:p>
        <a:p>
          <a:r>
            <a:rPr lang="en-US"/>
            <a:t>A decomposition of DigitalOcean's revenue reveals a critical divergence between </a:t>
          </a:r>
          <a:r>
            <a:rPr lang="en-US" b="1"/>
            <a:t>Unit Economics</a:t>
          </a:r>
          <a:r>
            <a:rPr lang="en-US"/>
            <a:t> and </a:t>
          </a:r>
          <a:r>
            <a:rPr lang="en-US" b="1"/>
            <a:t>User Growth</a:t>
          </a:r>
          <a:r>
            <a:rPr lang="en-US"/>
            <a:t>.</a:t>
          </a:r>
        </a:p>
        <a:p>
          <a:r>
            <a:rPr lang="en-US"/>
            <a:t>While Annual Run-Rate (ARR) accelerated to $919M in Q3 2025, my "Implied Customer" analysis indicates this growth masks a contraction in the subscriber base. By dividing Monthly Revenue by reported ARPU, we calculate that the active customer count has declined from ~678k in 2024 to ~659k in Q3 2025 (a loss of ~19k users).</a:t>
          </a:r>
        </a:p>
        <a:p>
          <a:endParaRPr lang="en-US" b="1"/>
        </a:p>
        <a:p>
          <a:r>
            <a:rPr lang="en-US" b="1"/>
            <a:t>Implication:</a:t>
          </a:r>
          <a:r>
            <a:rPr lang="en-US"/>
            <a:t> This confirms that DigitalOcean is executing a "Churning the Bottom" strategy—intentionally shedding low-margin customers (e.g., $5/month students) to prioritize high-margin AI/SMB clients. While this improves gross margins, it changes the company's risk profile: future growth is now highly sensitive to </a:t>
          </a:r>
          <a:r>
            <a:rPr lang="en-US" b="1"/>
            <a:t>pricing power (ARPU)</a:t>
          </a:r>
          <a:r>
            <a:rPr lang="en-US"/>
            <a:t> rather than </a:t>
          </a:r>
          <a:r>
            <a:rPr lang="en-US" b="1"/>
            <a:t>market adoption (Volume)</a:t>
          </a:r>
          <a:r>
            <a:rPr lang="en-US"/>
            <a:t>. If the company fails to cross-sell expensive AI GPU capacity, they lack the user growth engine to compensate.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82315</xdr:colOff>
      <xdr:row>14</xdr:row>
      <xdr:rowOff>58795</xdr:rowOff>
    </xdr:from>
    <xdr:to>
      <xdr:col>5</xdr:col>
      <xdr:colOff>176389</xdr:colOff>
      <xdr:row>34</xdr:row>
      <xdr:rowOff>11759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58DEEC-E4DC-32CF-8491-45D99435F4BF}"/>
            </a:ext>
          </a:extLst>
        </xdr:cNvPr>
        <xdr:cNvSpPr txBox="1"/>
      </xdr:nvSpPr>
      <xdr:spPr>
        <a:xfrm>
          <a:off x="82315" y="2857499"/>
          <a:ext cx="8866481" cy="39511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Sensitivity Analysis: Execution Risk vs. AI Opportunity</a:t>
          </a:r>
        </a:p>
        <a:p>
          <a:endParaRPr lang="en-US" sz="1600"/>
        </a:p>
        <a:p>
          <a:r>
            <a:rPr lang="en-US" sz="1600"/>
            <a:t>Given the divergence identified in the user base analysis, the FY2026 forecast is stress-tested against three scenarios focusing on the volatility of AI adoption (ARPU) and subscriber retention.</a:t>
          </a:r>
        </a:p>
        <a:p>
          <a:r>
            <a:rPr lang="en-US" sz="1600" b="1"/>
            <a:t>Base Case ($997M Revenue):</a:t>
          </a:r>
          <a:r>
            <a:rPr lang="en-US" sz="1600"/>
            <a:t> Assumes the "AI Pivot" succeeds moderately. ARPU grows ~8% to $126 as customers adopt GPU tiers, while the subscriber base stabilizes at ~659k (flat growth).</a:t>
          </a:r>
        </a:p>
        <a:p>
          <a:r>
            <a:rPr lang="en-US" sz="1600" b="1"/>
            <a:t>Bear Case ($906M Revenue):</a:t>
          </a:r>
          <a:r>
            <a:rPr lang="en-US" sz="1600"/>
            <a:t> Represents execution failure. ARPU growth stagnates ($118) due to competitive pressure from Hyperscalers (AWS/Azure), while price increases drive continued churn (-19k users). In this scenario, revenue contracts by 1.4% YoY.</a:t>
          </a:r>
        </a:p>
        <a:p>
          <a:r>
            <a:rPr lang="en-US" sz="1600" b="1"/>
            <a:t>Bull Case ($1.08B Revenue):</a:t>
          </a:r>
          <a:r>
            <a:rPr lang="en-US" sz="1600"/>
            <a:t> Represents an "AI Boom." ARPU accelerates to $135 (+16%) driven by demand for Paperspace/H100 GPUs, and the platform returns to modest user growth (+11k net adds) as AI startups flock to the platform.</a:t>
          </a:r>
        </a:p>
        <a:p>
          <a:r>
            <a:rPr lang="en-US" sz="1600" b="1"/>
            <a:t>Conclusion:</a:t>
          </a:r>
          <a:r>
            <a:rPr lang="en-US" sz="1600"/>
            <a:t> The skew is asymmetric. The company must achieve roughly 8% pricing growth just to offset the lack of user acquisition.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86DA-B2F2-6745-9A65-5FAB991C6684}">
  <dimension ref="A1:O27"/>
  <sheetViews>
    <sheetView workbookViewId="0">
      <selection activeCell="D40" sqref="D40"/>
    </sheetView>
  </sheetViews>
  <sheetFormatPr baseColWidth="10" defaultRowHeight="16" x14ac:dyDescent="0.2"/>
  <sheetData>
    <row r="1" spans="1:15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5FC0-9BB4-B640-9CFD-745C6FF3BC25}">
  <dimension ref="A1:G12"/>
  <sheetViews>
    <sheetView tabSelected="1" zoomScale="175" workbookViewId="0">
      <selection activeCell="I1" sqref="I1"/>
    </sheetView>
  </sheetViews>
  <sheetFormatPr baseColWidth="10" defaultRowHeight="16" x14ac:dyDescent="0.2"/>
  <cols>
    <col min="1" max="1" width="4.6640625" style="6" customWidth="1"/>
    <col min="2" max="2" width="20.6640625" customWidth="1"/>
    <col min="3" max="4" width="11.33203125" bestFit="1" customWidth="1"/>
    <col min="5" max="6" width="11.1640625" bestFit="1" customWidth="1"/>
    <col min="7" max="7" width="12.1640625" style="12" customWidth="1"/>
  </cols>
  <sheetData>
    <row r="1" spans="1:7" x14ac:dyDescent="0.2">
      <c r="A1" s="1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8"/>
    </row>
    <row r="2" spans="1:7" x14ac:dyDescent="0.2">
      <c r="A2" s="13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7" t="s">
        <v>18</v>
      </c>
    </row>
    <row r="3" spans="1:7" x14ac:dyDescent="0.2">
      <c r="A3" s="13">
        <v>2</v>
      </c>
      <c r="B3" s="1" t="s">
        <v>10</v>
      </c>
      <c r="C3" s="2"/>
      <c r="D3" s="2"/>
      <c r="E3" s="2"/>
      <c r="F3" s="2"/>
    </row>
    <row r="4" spans="1:7" x14ac:dyDescent="0.2">
      <c r="A4" s="13">
        <v>3</v>
      </c>
      <c r="B4" s="2" t="s">
        <v>11</v>
      </c>
      <c r="C4" s="2">
        <v>652</v>
      </c>
      <c r="D4" s="2">
        <v>723</v>
      </c>
      <c r="E4" s="2">
        <v>820</v>
      </c>
      <c r="F4" s="2">
        <v>919</v>
      </c>
    </row>
    <row r="5" spans="1:7" x14ac:dyDescent="0.2">
      <c r="A5" s="13">
        <v>4</v>
      </c>
      <c r="B5" s="3" t="s">
        <v>12</v>
      </c>
      <c r="C5" s="3" t="s">
        <v>13</v>
      </c>
      <c r="D5" s="4">
        <f>(D4-C4)/C4</f>
        <v>0.10889570552147239</v>
      </c>
      <c r="E5" s="4">
        <f t="shared" ref="E5:F5" si="0">(E4-D4)/D4</f>
        <v>0.13416320885200553</v>
      </c>
      <c r="F5" s="4">
        <f t="shared" si="0"/>
        <v>0.12073170731707317</v>
      </c>
    </row>
    <row r="6" spans="1:7" s="12" customFormat="1" x14ac:dyDescent="0.2">
      <c r="A6" s="14">
        <v>5</v>
      </c>
      <c r="B6" s="8" t="s">
        <v>17</v>
      </c>
      <c r="C6" s="9">
        <f>C4/12</f>
        <v>54.333333333333336</v>
      </c>
      <c r="D6" s="9">
        <f>D4/12</f>
        <v>60.25</v>
      </c>
      <c r="E6" s="9">
        <f>E4/12</f>
        <v>68.333333333333329</v>
      </c>
      <c r="F6" s="9">
        <f>F4/12</f>
        <v>76.583333333333329</v>
      </c>
    </row>
    <row r="7" spans="1:7" s="12" customFormat="1" x14ac:dyDescent="0.2">
      <c r="A7" s="14">
        <v>6</v>
      </c>
      <c r="B7" s="10" t="s">
        <v>14</v>
      </c>
      <c r="C7" s="10">
        <v>82.76</v>
      </c>
      <c r="D7" s="10">
        <v>90.99</v>
      </c>
      <c r="E7" s="10">
        <v>100.71</v>
      </c>
      <c r="F7" s="10">
        <v>116.2</v>
      </c>
      <c r="G7" s="19">
        <v>126</v>
      </c>
    </row>
    <row r="8" spans="1:7" x14ac:dyDescent="0.2">
      <c r="A8" s="13">
        <v>7</v>
      </c>
      <c r="B8" s="3" t="s">
        <v>12</v>
      </c>
      <c r="C8" s="3" t="s">
        <v>13</v>
      </c>
      <c r="D8" s="4">
        <f>(D7-C7)/C7</f>
        <v>9.944417593040103E-2</v>
      </c>
      <c r="E8" s="4">
        <f t="shared" ref="E8:G8" si="1">(E7-D7)/D7</f>
        <v>0.10682492581602374</v>
      </c>
      <c r="F8" s="4">
        <f t="shared" si="1"/>
        <v>0.15380796345943809</v>
      </c>
      <c r="G8" s="4">
        <f t="shared" si="1"/>
        <v>8.4337349397590342E-2</v>
      </c>
    </row>
    <row r="9" spans="1:7" x14ac:dyDescent="0.2">
      <c r="A9" s="13">
        <v>8</v>
      </c>
      <c r="B9" s="2"/>
      <c r="C9" s="2"/>
      <c r="D9" s="2"/>
      <c r="E9" s="2"/>
      <c r="F9" s="2"/>
    </row>
    <row r="10" spans="1:7" x14ac:dyDescent="0.2">
      <c r="A10" s="13">
        <v>9</v>
      </c>
      <c r="B10" s="1" t="s">
        <v>15</v>
      </c>
      <c r="C10" s="5">
        <f>C6/C7</f>
        <v>0.6565168358305139</v>
      </c>
      <c r="D10" s="5">
        <f t="shared" ref="D10:G10" si="2">D6/D7</f>
        <v>0.66216067699747228</v>
      </c>
      <c r="E10" s="5">
        <f t="shared" si="2"/>
        <v>0.67851587065170627</v>
      </c>
      <c r="F10" s="5">
        <f t="shared" si="2"/>
        <v>0.65906483075157773</v>
      </c>
      <c r="G10" s="11">
        <v>0.65906500000000001</v>
      </c>
    </row>
    <row r="11" spans="1:7" x14ac:dyDescent="0.2">
      <c r="A11" s="13">
        <v>10</v>
      </c>
      <c r="B11" s="3" t="s">
        <v>16</v>
      </c>
      <c r="C11" s="3" t="s">
        <v>13</v>
      </c>
      <c r="D11" s="3">
        <f t="shared" ref="D11:E11" si="3">D10-C10</f>
        <v>5.6438411669583743E-3</v>
      </c>
      <c r="E11" s="3">
        <f t="shared" si="3"/>
        <v>1.635519365423399E-2</v>
      </c>
      <c r="F11" s="3">
        <f>F10-E10</f>
        <v>-1.9451039900128531E-2</v>
      </c>
      <c r="G11" s="8"/>
    </row>
    <row r="12" spans="1:7" x14ac:dyDescent="0.2">
      <c r="B12" s="8" t="s">
        <v>19</v>
      </c>
      <c r="D12" s="8">
        <f t="shared" ref="D12:F12" si="4">D10*D7*12</f>
        <v>723</v>
      </c>
      <c r="E12" s="8">
        <f t="shared" si="4"/>
        <v>820</v>
      </c>
      <c r="F12" s="8">
        <f t="shared" si="4"/>
        <v>919</v>
      </c>
      <c r="G12" s="8">
        <f>G10*G7*12</f>
        <v>996.50628000000006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2929-B550-9A43-886F-20E93F30052C}">
  <dimension ref="A1:E12"/>
  <sheetViews>
    <sheetView zoomScale="108" workbookViewId="0">
      <selection activeCell="H13" sqref="H13"/>
    </sheetView>
  </sheetViews>
  <sheetFormatPr baseColWidth="10" defaultRowHeight="16" x14ac:dyDescent="0.2"/>
  <cols>
    <col min="1" max="1" width="25" customWidth="1"/>
    <col min="2" max="2" width="24.1640625" customWidth="1"/>
    <col min="3" max="3" width="32.83203125" customWidth="1"/>
    <col min="4" max="4" width="17.83203125" customWidth="1"/>
    <col min="5" max="5" width="15.1640625" customWidth="1"/>
  </cols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</row>
    <row r="2" spans="1:5" x14ac:dyDescent="0.2">
      <c r="A2" s="1" t="s">
        <v>24</v>
      </c>
      <c r="B2" s="2" t="s">
        <v>25</v>
      </c>
      <c r="C2" s="2" t="s">
        <v>26</v>
      </c>
      <c r="D2" s="1" t="s">
        <v>33</v>
      </c>
    </row>
    <row r="3" spans="1:5" x14ac:dyDescent="0.2">
      <c r="A3" s="1" t="s">
        <v>27</v>
      </c>
      <c r="B3" s="15">
        <v>126</v>
      </c>
      <c r="C3" s="2" t="s">
        <v>28</v>
      </c>
      <c r="D3" s="1" t="s">
        <v>29</v>
      </c>
    </row>
    <row r="4" spans="1:5" x14ac:dyDescent="0.2">
      <c r="A4" s="1" t="s">
        <v>30</v>
      </c>
      <c r="B4" s="2" t="s">
        <v>31</v>
      </c>
      <c r="C4" s="2" t="s">
        <v>32</v>
      </c>
      <c r="D4" s="1" t="s">
        <v>34</v>
      </c>
    </row>
    <row r="9" spans="1:5" x14ac:dyDescent="0.2">
      <c r="A9" s="1" t="s">
        <v>20</v>
      </c>
      <c r="B9" s="1" t="s">
        <v>14</v>
      </c>
      <c r="C9" s="1" t="s">
        <v>35</v>
      </c>
      <c r="D9" s="1" t="s">
        <v>36</v>
      </c>
      <c r="E9" s="1" t="s">
        <v>37</v>
      </c>
    </row>
    <row r="10" spans="1:5" x14ac:dyDescent="0.2">
      <c r="A10" s="1" t="s">
        <v>38</v>
      </c>
      <c r="B10" s="16">
        <v>118</v>
      </c>
      <c r="C10" s="2">
        <v>0.64</v>
      </c>
      <c r="D10" s="1" t="s">
        <v>33</v>
      </c>
      <c r="E10" s="17">
        <v>-1.4E-2</v>
      </c>
    </row>
    <row r="11" spans="1:5" x14ac:dyDescent="0.2">
      <c r="A11" s="1" t="s">
        <v>39</v>
      </c>
      <c r="B11" s="16">
        <v>126</v>
      </c>
      <c r="C11" s="2">
        <v>0.65900000000000003</v>
      </c>
      <c r="D11" s="1" t="s">
        <v>40</v>
      </c>
      <c r="E11" s="17">
        <v>8.4000000000000005E-2</v>
      </c>
    </row>
    <row r="12" spans="1:5" x14ac:dyDescent="0.2">
      <c r="A12" s="1" t="s">
        <v>41</v>
      </c>
      <c r="B12" s="16">
        <v>135</v>
      </c>
      <c r="C12" s="2">
        <v>0.67</v>
      </c>
      <c r="D12" s="1" t="s">
        <v>34</v>
      </c>
      <c r="E12" s="17">
        <v>0.18099999999999999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The Analysis</vt:lpstr>
      <vt:lpstr>Sensetivity Analaysis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Semaria Kebede</dc:creator>
  <cp:lastModifiedBy>Semaria Kebede</cp:lastModifiedBy>
  <dcterms:created xsi:type="dcterms:W3CDTF">2025-12-06T05:42:04Z</dcterms:created>
  <dcterms:modified xsi:type="dcterms:W3CDTF">2025-12-06T22:35:26Z</dcterms:modified>
</cp:coreProperties>
</file>